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נתונים ומקורות" sheetId="1" r:id="rId1"/>
    <sheet name="תרחיש" sheetId="2" r:id="rId2"/>
  </sheets>
  <calcPr calcId="124519" fullCalcOnLoad="1"/>
</workbook>
</file>

<file path=xl/sharedStrings.xml><?xml version="1.0" encoding="utf-8"?>
<sst xmlns="http://schemas.openxmlformats.org/spreadsheetml/2006/main" count="87" uniqueCount="56">
  <si>
    <t>שדה</t>
  </si>
  <si>
    <t>ערך</t>
  </si>
  <si>
    <t>ודאות</t>
  </si>
  <si>
    <t>מקור</t>
  </si>
  <si>
    <t>תאריך שליפה</t>
  </si>
  <si>
    <t>מיקום ראיה</t>
  </si>
  <si>
    <t>כתובת</t>
  </si>
  <si>
    <t>דוד המלך 25, תל אביב-יפו</t>
  </si>
  <si>
    <t>רשמי</t>
  </si>
  <si>
    <t>https://handasa.tel-aviv.gov.il/Pages/SearchResultsAnonPageNew.aspx?partialAddress=481_25</t>
  </si>
  <si>
    <t>2026-09-10T15:47:33.149225+00:00</t>
  </si>
  <si>
    <t>כותרת תיק בניין</t>
  </si>
  <si>
    <t>מספר תיק בניין</t>
  </si>
  <si>
    <t>04810250</t>
  </si>
  <si>
    <t>פרטי תיק בניין</t>
  </si>
  <si>
    <t>גוש</t>
  </si>
  <si>
    <t>6111</t>
  </si>
  <si>
    <t>גושים/חלקות בתיק</t>
  </si>
  <si>
    <t>חלקה</t>
  </si>
  <si>
    <t>899</t>
  </si>
  <si>
    <t>דירות בהיתר</t>
  </si>
  <si>
    <t>חסר</t>
  </si>
  <si>
    <t>קומות לפי הגדרת המדיניות</t>
  </si>
  <si>
    <t>מועד היתר מקורי</t>
  </si>
  <si>
    <t>מספר היתר מקורי</t>
  </si>
  <si>
    <t>בסיס שטח חוקי מעל הקרקע</t>
  </si>
  <si>
    <t>בסיס תכנוני</t>
  </si>
  <si>
    <t>בדיקת תכניות גוברות</t>
  </si>
  <si>
    <t>קלט / חישוב</t>
  </si>
  <si>
    <t>יחידה / הערה</t>
  </si>
  <si>
    <t>שטח מכירה</t>
  </si>
  <si>
    <t>מ״ר</t>
  </si>
  <si>
    <t>שטח בנייה</t>
  </si>
  <si>
    <t>מחיר מכירה</t>
  </si>
  <si>
    <t>₪ למ״ר</t>
  </si>
  <si>
    <t>עלות בנייה</t>
  </si>
  <si>
    <t>שכירות חודשית כוללת</t>
  </si>
  <si>
    <t>₪ לחודש</t>
  </si>
  <si>
    <t>תקופת שכירות</t>
  </si>
  <si>
    <t>חודשים</t>
  </si>
  <si>
    <t>יועצים</t>
  </si>
  <si>
    <t>₪</t>
  </si>
  <si>
    <t>מימון</t>
  </si>
  <si>
    <t>מיסים והיטלים</t>
  </si>
  <si>
    <t>חניה</t>
  </si>
  <si>
    <t>רזרבה</t>
  </si>
  <si>
    <t>עלויות נוספות</t>
  </si>
  <si>
    <t>הכנסות</t>
  </si>
  <si>
    <t>הוצאות</t>
  </si>
  <si>
    <t>הפרש תרחיש</t>
  </si>
  <si>
    <t>רווח על העלות</t>
  </si>
  <si>
    <t>אין אישור זכויות. יש להשלים את כל הקלטים ובסיס מס עקבי.</t>
  </si>
  <si>
    <t>בסיס מס</t>
  </si>
  <si>
    <t>טרם הוגדר</t>
  </si>
  <si>
    <t>הנחות</t>
  </si>
  <si>
    <t>לא אושרו הנחות לתרחיש זה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</si>
</sst>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459A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4231F"/>
        <bgColor indexed="64"/>
      </patternFill>
    </fill>
    <fill>
      <patternFill patternType="solid">
        <fgColor rgb="FFF5F8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164" fontId="2" fillId="3" borderId="0" xfId="0" applyNumberFormat="1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2" width="28.7109375" customWidth="1"/>
    <col min="3" max="3" width="20.7109375" customWidth="1"/>
    <col min="4" max="4" width="75.7109375" customWidth="1"/>
    <col min="5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2" customHeight="1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14</v>
      </c>
    </row>
    <row r="4" spans="1:6" ht="42" customHeight="1">
      <c r="A4" s="2" t="s">
        <v>15</v>
      </c>
      <c r="B4" s="2" t="s">
        <v>16</v>
      </c>
      <c r="C4" s="2" t="s">
        <v>8</v>
      </c>
      <c r="D4" s="2" t="s">
        <v>9</v>
      </c>
      <c r="E4" s="2" t="s">
        <v>10</v>
      </c>
      <c r="F4" s="2" t="s">
        <v>17</v>
      </c>
    </row>
    <row r="5" spans="1:6" ht="42" customHeight="1">
      <c r="A5" s="2" t="s">
        <v>18</v>
      </c>
      <c r="B5" s="2" t="s">
        <v>19</v>
      </c>
      <c r="C5" s="2" t="s">
        <v>8</v>
      </c>
      <c r="D5" s="2" t="s">
        <v>9</v>
      </c>
      <c r="E5" s="2" t="s">
        <v>10</v>
      </c>
      <c r="F5" s="2" t="s">
        <v>17</v>
      </c>
    </row>
    <row r="6" spans="1:6" ht="42" customHeight="1">
      <c r="A6" s="2" t="s">
        <v>20</v>
      </c>
      <c r="B6" s="2" t="s">
        <v>21</v>
      </c>
      <c r="C6" s="2" t="s">
        <v>21</v>
      </c>
      <c r="D6" s="2"/>
      <c r="E6" s="2"/>
      <c r="F6" s="2"/>
    </row>
    <row r="7" spans="1:6" ht="42" customHeight="1">
      <c r="A7" s="2" t="s">
        <v>22</v>
      </c>
      <c r="B7" s="2" t="s">
        <v>21</v>
      </c>
      <c r="C7" s="2" t="s">
        <v>21</v>
      </c>
      <c r="D7" s="2"/>
      <c r="E7" s="2"/>
      <c r="F7" s="2"/>
    </row>
    <row r="8" spans="1:6" ht="42" customHeight="1">
      <c r="A8" s="2" t="s">
        <v>23</v>
      </c>
      <c r="B8" s="2" t="s">
        <v>21</v>
      </c>
      <c r="C8" s="2" t="s">
        <v>21</v>
      </c>
      <c r="D8" s="2"/>
      <c r="E8" s="2"/>
      <c r="F8" s="2"/>
    </row>
    <row r="9" spans="1:6" ht="42" customHeight="1">
      <c r="A9" s="2" t="s">
        <v>24</v>
      </c>
      <c r="B9" s="2" t="s">
        <v>21</v>
      </c>
      <c r="C9" s="2" t="s">
        <v>21</v>
      </c>
      <c r="D9" s="2"/>
      <c r="E9" s="2"/>
      <c r="F9" s="2"/>
    </row>
    <row r="10" spans="1:6" ht="42" customHeight="1">
      <c r="A10" s="2" t="s">
        <v>25</v>
      </c>
      <c r="B10" s="2" t="s">
        <v>21</v>
      </c>
      <c r="C10" s="2" t="s">
        <v>21</v>
      </c>
      <c r="D10" s="2"/>
      <c r="E10" s="2"/>
      <c r="F10" s="2"/>
    </row>
    <row r="11" spans="1:6" ht="42" customHeight="1">
      <c r="A11" s="2" t="s">
        <v>26</v>
      </c>
      <c r="B11" s="2" t="s">
        <v>21</v>
      </c>
      <c r="C11" s="2" t="s">
        <v>21</v>
      </c>
      <c r="D11" s="2"/>
      <c r="E11" s="2"/>
      <c r="F11" s="2"/>
    </row>
    <row r="12" spans="1:6" ht="42" customHeight="1">
      <c r="A12" s="2" t="s">
        <v>27</v>
      </c>
      <c r="B12" s="2" t="s">
        <v>21</v>
      </c>
      <c r="C12" s="2" t="s">
        <v>21</v>
      </c>
      <c r="D12" s="2"/>
      <c r="E12" s="2"/>
      <c r="F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rightToLeft="1" workbookViewId="0"/>
  </sheetViews>
  <sheetFormatPr defaultRowHeight="15"/>
  <cols>
    <col min="1" max="1" width="35.7109375" customWidth="1"/>
    <col min="2" max="2" width="24.7109375" customWidth="1"/>
    <col min="3" max="3" width="55.7109375" customWidth="1"/>
  </cols>
  <sheetData>
    <row r="1" spans="1:3">
      <c r="A1" s="1" t="s">
        <v>28</v>
      </c>
      <c r="B1" s="1" t="s">
        <v>1</v>
      </c>
      <c r="C1" s="1" t="s">
        <v>29</v>
      </c>
    </row>
    <row r="2" spans="1:3">
      <c r="A2" t="s">
        <v>30</v>
      </c>
      <c r="B2" s="3"/>
      <c r="C2" t="s">
        <v>31</v>
      </c>
    </row>
    <row r="3" spans="1:3">
      <c r="A3" t="s">
        <v>32</v>
      </c>
      <c r="B3" s="3"/>
      <c r="C3" t="s">
        <v>31</v>
      </c>
    </row>
    <row r="4" spans="1:3">
      <c r="A4" t="s">
        <v>33</v>
      </c>
      <c r="B4" s="3"/>
      <c r="C4" t="s">
        <v>34</v>
      </c>
    </row>
    <row r="5" spans="1:3">
      <c r="A5" t="s">
        <v>35</v>
      </c>
      <c r="B5" s="3"/>
      <c r="C5" t="s">
        <v>34</v>
      </c>
    </row>
    <row r="6" spans="1:3">
      <c r="A6" t="s">
        <v>36</v>
      </c>
      <c r="B6" s="3"/>
      <c r="C6" t="s">
        <v>37</v>
      </c>
    </row>
    <row r="7" spans="1:3">
      <c r="A7" t="s">
        <v>38</v>
      </c>
      <c r="B7" s="3"/>
      <c r="C7" t="s">
        <v>39</v>
      </c>
    </row>
    <row r="8" spans="1:3">
      <c r="A8" t="s">
        <v>40</v>
      </c>
      <c r="B8" s="3"/>
      <c r="C8" t="s">
        <v>41</v>
      </c>
    </row>
    <row r="9" spans="1:3">
      <c r="A9" t="s">
        <v>42</v>
      </c>
      <c r="B9" s="3"/>
      <c r="C9" t="s">
        <v>41</v>
      </c>
    </row>
    <row r="10" spans="1:3">
      <c r="A10" t="s">
        <v>43</v>
      </c>
      <c r="B10" s="3"/>
      <c r="C10" t="s">
        <v>41</v>
      </c>
    </row>
    <row r="11" spans="1:3">
      <c r="A11" t="s">
        <v>44</v>
      </c>
      <c r="B11" s="3"/>
      <c r="C11" t="s">
        <v>41</v>
      </c>
    </row>
    <row r="12" spans="1:3">
      <c r="A12" t="s">
        <v>45</v>
      </c>
      <c r="B12" s="3"/>
      <c r="C12" t="s">
        <v>41</v>
      </c>
    </row>
    <row r="13" spans="1:3">
      <c r="A13" t="s">
        <v>46</v>
      </c>
      <c r="B13" s="3"/>
      <c r="C13" t="s">
        <v>41</v>
      </c>
    </row>
    <row r="15" spans="1:3">
      <c r="A15" t="s">
        <v>47</v>
      </c>
      <c r="B15" s="4">
        <f>IF(COUNT(B2:B13)=12,B2*B4,"")</f>
        <v/>
      </c>
    </row>
    <row r="16" spans="1:3">
      <c r="A16" t="s">
        <v>48</v>
      </c>
      <c r="B16" s="4">
        <f>IF(COUNT(B2:B13)=12,B3*B5+B6*B7+SUM(B8:B13),"")</f>
        <v/>
      </c>
    </row>
    <row r="17" spans="1:2">
      <c r="A17" t="s">
        <v>49</v>
      </c>
      <c r="B17" s="4">
        <f>IF(COUNT(B15:B16)=2,B15-B16,"")</f>
        <v/>
      </c>
    </row>
    <row r="18" spans="1:2">
      <c r="A18" t="s">
        <v>50</v>
      </c>
      <c r="B18" s="5">
        <f>IF(AND(ISNUMBER(B16),B16&gt;0),B17/B16,"")</f>
        <v/>
      </c>
    </row>
    <row r="21" spans="1:2">
      <c r="A21" s="2" t="s">
        <v>51</v>
      </c>
    </row>
    <row r="22" spans="1:2">
      <c r="A22" t="s">
        <v>52</v>
      </c>
      <c r="B22" t="s">
        <v>53</v>
      </c>
    </row>
    <row r="23" spans="1:2">
      <c r="A23" t="s">
        <v>54</v>
      </c>
      <c r="B23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נתונים ומקורות</vt:lpstr>
      <vt:lpstr>תרחיש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2026-09-10T16:41:30Z</dcterms:created>
  <dcterms:modified xsi:type="dcterms:W3CDTF">2026-09-10T16:41:30Z</dcterms:modified>
</cp:coreProperties>
</file>